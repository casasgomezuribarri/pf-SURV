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casas/GitHub/pf-surv/Data/"/>
    </mc:Choice>
  </mc:AlternateContent>
  <xr:revisionPtr revIDLastSave="0" documentId="13_ncr:1_{56725362-471F-504A-96A4-C56580F9C3DD}" xr6:coauthVersionLast="47" xr6:coauthVersionMax="47" xr10:uidLastSave="{00000000-0000-0000-0000-000000000000}"/>
  <bookViews>
    <workbookView xWindow="0" yWindow="760" windowWidth="30240" windowHeight="18880" xr2:uid="{E7FA00F9-E31D-2F4F-8F4A-51DE040893DE}"/>
  </bookViews>
  <sheets>
    <sheet name="feeds" sheetId="5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5" l="1"/>
  <c r="K11" i="5"/>
  <c r="L10" i="5"/>
  <c r="K10" i="5"/>
  <c r="L9" i="5"/>
  <c r="K9" i="5"/>
  <c r="L8" i="5"/>
  <c r="K8" i="5"/>
  <c r="L7" i="5"/>
  <c r="K7" i="5"/>
  <c r="L6" i="5"/>
  <c r="K6" i="5"/>
  <c r="K5" i="5"/>
  <c r="L4" i="5"/>
  <c r="K4" i="5"/>
  <c r="L3" i="5"/>
  <c r="K3" i="5"/>
  <c r="L2" i="5"/>
  <c r="K2" i="5"/>
  <c r="I3" i="5"/>
  <c r="I4" i="5"/>
  <c r="I5" i="5"/>
  <c r="I6" i="5"/>
  <c r="I7" i="5"/>
  <c r="I8" i="5"/>
  <c r="I9" i="5"/>
  <c r="I10" i="5"/>
  <c r="I11" i="5"/>
  <c r="I2" i="5"/>
  <c r="A3" i="5"/>
  <c r="A4" i="5" s="1"/>
  <c r="A5" i="5" s="1"/>
  <c r="A6" i="5" s="1"/>
  <c r="A7" i="5" s="1"/>
  <c r="A8" i="5" s="1"/>
  <c r="A9" i="5" s="1"/>
  <c r="A10" i="5" s="1"/>
  <c r="A11" i="5" s="1"/>
  <c r="D2" i="5"/>
</calcChain>
</file>

<file path=xl/sharedStrings.xml><?xml version="1.0" encoding="utf-8"?>
<sst xmlns="http://schemas.openxmlformats.org/spreadsheetml/2006/main" count="42" uniqueCount="18">
  <si>
    <t>date</t>
  </si>
  <si>
    <t>replicate</t>
  </si>
  <si>
    <t>gametocytaemia_inf</t>
  </si>
  <si>
    <t>serum_inf</t>
  </si>
  <si>
    <t>serum_con</t>
  </si>
  <si>
    <t>pellet_inf_mL</t>
  </si>
  <si>
    <t>serum_inf_mL</t>
  </si>
  <si>
    <t>volume_inf_mL</t>
  </si>
  <si>
    <t>exflagellation</t>
  </si>
  <si>
    <t>gambiae_age</t>
  </si>
  <si>
    <t>coluzzii_age</t>
  </si>
  <si>
    <t>INTER_c+e</t>
  </si>
  <si>
    <t>no</t>
  </si>
  <si>
    <t>NHSBT_a</t>
  </si>
  <si>
    <t>yes</t>
  </si>
  <si>
    <t>NHSBT_b</t>
  </si>
  <si>
    <t>NHSBT_c</t>
  </si>
  <si>
    <t>temp_mean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</si>
</sst>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/>
    </xf>
    <xf numFmtId="10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790"/>
      <color rgb="FFD9FFEE"/>
      <color rgb="FFC5D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la-my.sharepoint.com/personal/2332990c_student_gla_ac_uk/Documents/Aa%20PhD/Aa%20PhD%20Project/Lab/Experiments/Experimental%20schedule.xlsx" TargetMode="External"/><Relationship Id="rId1" Type="http://schemas.openxmlformats.org/officeDocument/2006/relationships/externalLinkPath" Target="https://gla-my.sharepoint.com/personal/2332990c_student_gla_ac_uk/Documents/Aa%20PhD/Aa%20PhD%20Project/Lab/Experiments/Experimental%20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y planner"/>
      <sheetName val="calendar"/>
      <sheetName val="protocol"/>
      <sheetName val="feeds"/>
      <sheetName val="mos_age"/>
    </sheetNames>
    <sheetDataSet>
      <sheetData sheetId="0"/>
      <sheetData sheetId="1"/>
      <sheetData sheetId="2"/>
      <sheetData sheetId="3"/>
      <sheetData sheetId="4">
        <row r="3">
          <cell r="S3">
            <v>3.5636363636363635</v>
          </cell>
          <cell r="AJ3">
            <v>2.8717171717171719</v>
          </cell>
        </row>
        <row r="4">
          <cell r="S4">
            <v>3.594141829393628</v>
          </cell>
          <cell r="AJ4" t="e">
            <v>#N/A</v>
          </cell>
        </row>
        <row r="5">
          <cell r="S5">
            <v>2.3290322580645157</v>
          </cell>
          <cell r="AJ5">
            <v>2.1566982408660351</v>
          </cell>
        </row>
        <row r="6">
          <cell r="S6">
            <v>1.7788757932910246</v>
          </cell>
        </row>
        <row r="7">
          <cell r="S7">
            <v>4.21</v>
          </cell>
          <cell r="AJ7">
            <v>3.5284313725490195</v>
          </cell>
        </row>
        <row r="8">
          <cell r="S8">
            <v>3.0686730506155953</v>
          </cell>
          <cell r="AJ8">
            <v>0.76758137984668373</v>
          </cell>
        </row>
        <row r="9">
          <cell r="S9">
            <v>3.9766258246936852</v>
          </cell>
          <cell r="AJ9">
            <v>3.2519904931669639</v>
          </cell>
        </row>
        <row r="10">
          <cell r="S10">
            <v>5.0054726368159201</v>
          </cell>
          <cell r="AJ10">
            <v>5.4171444023796642</v>
          </cell>
        </row>
        <row r="11">
          <cell r="S11">
            <v>3.7216070222822415</v>
          </cell>
          <cell r="AJ11">
            <v>3.7199441563621858</v>
          </cell>
        </row>
        <row r="12">
          <cell r="S12">
            <v>3.5085106382978717</v>
          </cell>
          <cell r="AJ12">
            <v>3.9619954303122618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2011E-412E-E24C-8E06-396693C4CBF0}">
  <dimension ref="A1:L13"/>
  <sheetViews>
    <sheetView tabSelected="1" workbookViewId="0">
      <selection activeCell="O5" sqref="O5"/>
    </sheetView>
  </sheetViews>
  <sheetFormatPr baseColWidth="10" defaultColWidth="10.83203125" defaultRowHeight="16" x14ac:dyDescent="0.2"/>
  <cols>
    <col min="2" max="2" width="11.1640625" bestFit="1" customWidth="1"/>
    <col min="4" max="4" width="18.33203125" bestFit="1" customWidth="1"/>
    <col min="5" max="5" width="11.33203125" customWidth="1"/>
    <col min="7" max="7" width="12.33203125" bestFit="1" customWidth="1"/>
    <col min="8" max="8" width="13" bestFit="1" customWidth="1"/>
    <col min="9" max="9" width="13.5" bestFit="1" customWidth="1"/>
    <col min="10" max="10" width="12.33203125" bestFit="1" customWidth="1"/>
    <col min="11" max="11" width="11.83203125" bestFit="1" customWidth="1"/>
    <col min="12" max="12" width="10.6640625" bestFit="1" customWidth="1"/>
  </cols>
  <sheetData>
    <row r="1" spans="1:12" x14ac:dyDescent="0.2">
      <c r="A1" t="s">
        <v>1</v>
      </c>
      <c r="B1" t="s">
        <v>17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>
        <v>0</v>
      </c>
      <c r="B2">
        <v>27</v>
      </c>
      <c r="C2" s="1">
        <v>44998</v>
      </c>
      <c r="D2" s="3">
        <f>(15/8430+8/3690)/2</f>
        <v>1.9736905554108919E-3</v>
      </c>
      <c r="E2" s="5" t="s">
        <v>11</v>
      </c>
      <c r="F2" s="5" t="s">
        <v>11</v>
      </c>
      <c r="G2">
        <v>1.7</v>
      </c>
      <c r="H2">
        <v>1.7</v>
      </c>
      <c r="I2">
        <f>H2+G2</f>
        <v>3.4</v>
      </c>
      <c r="J2" t="s">
        <v>12</v>
      </c>
      <c r="K2" s="4">
        <f>[1]mos_age!S3</f>
        <v>3.5636363636363635</v>
      </c>
      <c r="L2" s="4">
        <f>[1]mos_age!AJ3</f>
        <v>2.8717171717171719</v>
      </c>
    </row>
    <row r="3" spans="1:12" x14ac:dyDescent="0.2">
      <c r="A3">
        <f>A2+1</f>
        <v>1</v>
      </c>
      <c r="B3">
        <v>27</v>
      </c>
      <c r="C3" s="1">
        <v>45082</v>
      </c>
      <c r="D3" s="3">
        <v>2E-3</v>
      </c>
      <c r="E3" s="5" t="s">
        <v>11</v>
      </c>
      <c r="F3" s="5" t="s">
        <v>11</v>
      </c>
      <c r="G3">
        <v>1.7</v>
      </c>
      <c r="H3">
        <v>1.7</v>
      </c>
      <c r="I3">
        <f t="shared" ref="I3:I11" si="0">H3+G3</f>
        <v>3.4</v>
      </c>
      <c r="J3" t="s">
        <v>12</v>
      </c>
      <c r="K3" s="4">
        <f>[1]mos_age!S4</f>
        <v>3.594141829393628</v>
      </c>
      <c r="L3" s="4" t="e">
        <f>[1]mos_age!AJ4</f>
        <v>#N/A</v>
      </c>
    </row>
    <row r="4" spans="1:12" x14ac:dyDescent="0.2">
      <c r="A4">
        <f t="shared" ref="A4:A11" si="1">A3+1</f>
        <v>2</v>
      </c>
      <c r="B4">
        <v>27</v>
      </c>
      <c r="C4" s="1">
        <v>45166</v>
      </c>
      <c r="D4" s="6">
        <v>0.01</v>
      </c>
      <c r="E4" s="5" t="s">
        <v>11</v>
      </c>
      <c r="F4" s="5" t="s">
        <v>11</v>
      </c>
      <c r="G4">
        <v>2.1</v>
      </c>
      <c r="H4">
        <v>1.1000000000000001</v>
      </c>
      <c r="I4">
        <f t="shared" si="0"/>
        <v>3.2</v>
      </c>
      <c r="J4" t="s">
        <v>12</v>
      </c>
      <c r="K4" s="4">
        <f>[1]mos_age!S5</f>
        <v>2.3290322580645157</v>
      </c>
      <c r="L4" s="4">
        <f>[1]mos_age!AJ5</f>
        <v>2.1566982408660351</v>
      </c>
    </row>
    <row r="5" spans="1:12" x14ac:dyDescent="0.2">
      <c r="A5">
        <f t="shared" si="1"/>
        <v>3</v>
      </c>
      <c r="B5">
        <v>27</v>
      </c>
      <c r="C5" s="1">
        <v>45257</v>
      </c>
      <c r="D5" s="3">
        <v>3.3999999999999998E-3</v>
      </c>
      <c r="E5" s="5" t="s">
        <v>11</v>
      </c>
      <c r="F5" s="5" t="s">
        <v>11</v>
      </c>
      <c r="G5">
        <v>1.5</v>
      </c>
      <c r="H5">
        <v>1.5</v>
      </c>
      <c r="I5">
        <f t="shared" si="0"/>
        <v>3</v>
      </c>
      <c r="J5" t="s">
        <v>12</v>
      </c>
      <c r="K5" s="4">
        <f>[1]mos_age!S6</f>
        <v>1.7788757932910246</v>
      </c>
      <c r="L5" s="4">
        <v>2.2999999999999998</v>
      </c>
    </row>
    <row r="6" spans="1:12" x14ac:dyDescent="0.2">
      <c r="A6">
        <f t="shared" si="1"/>
        <v>4</v>
      </c>
      <c r="B6">
        <v>27</v>
      </c>
      <c r="C6" s="1">
        <v>45366</v>
      </c>
      <c r="D6" s="3">
        <v>1.7999999999999999E-2</v>
      </c>
      <c r="E6" t="s">
        <v>13</v>
      </c>
      <c r="F6" t="s">
        <v>13</v>
      </c>
      <c r="G6">
        <v>1.6</v>
      </c>
      <c r="H6">
        <v>1.6</v>
      </c>
      <c r="I6">
        <f t="shared" si="0"/>
        <v>3.2</v>
      </c>
      <c r="J6" t="s">
        <v>14</v>
      </c>
      <c r="K6" s="4">
        <f>[1]mos_age!S7</f>
        <v>4.21</v>
      </c>
      <c r="L6" s="4">
        <f>[1]mos_age!AJ7</f>
        <v>3.5284313725490195</v>
      </c>
    </row>
    <row r="7" spans="1:12" x14ac:dyDescent="0.2">
      <c r="A7">
        <f t="shared" si="1"/>
        <v>5</v>
      </c>
      <c r="B7">
        <v>21</v>
      </c>
      <c r="C7" s="1">
        <v>45435</v>
      </c>
      <c r="D7" s="3">
        <v>8.0000000000000002E-3</v>
      </c>
      <c r="E7" t="s">
        <v>13</v>
      </c>
      <c r="F7" t="s">
        <v>13</v>
      </c>
      <c r="G7">
        <v>1.5</v>
      </c>
      <c r="H7">
        <v>1.5</v>
      </c>
      <c r="I7">
        <f t="shared" si="0"/>
        <v>3</v>
      </c>
      <c r="J7" t="s">
        <v>12</v>
      </c>
      <c r="K7" s="4">
        <f>[1]mos_age!S8</f>
        <v>3.0686730506155953</v>
      </c>
      <c r="L7" s="4">
        <f>[1]mos_age!AJ8</f>
        <v>0.76758137984668373</v>
      </c>
    </row>
    <row r="8" spans="1:12" x14ac:dyDescent="0.2">
      <c r="A8">
        <f t="shared" si="1"/>
        <v>6</v>
      </c>
      <c r="B8">
        <v>21</v>
      </c>
      <c r="C8" s="1">
        <v>45534</v>
      </c>
      <c r="D8" s="3">
        <v>8.0000000000000002E-3</v>
      </c>
      <c r="E8" s="1" t="s">
        <v>15</v>
      </c>
      <c r="F8" s="1" t="s">
        <v>15</v>
      </c>
      <c r="G8">
        <v>0.9</v>
      </c>
      <c r="H8">
        <v>1</v>
      </c>
      <c r="I8">
        <f t="shared" si="0"/>
        <v>1.9</v>
      </c>
      <c r="J8" t="s">
        <v>14</v>
      </c>
      <c r="K8" s="4">
        <f>[1]mos_age!S9</f>
        <v>3.9766258246936852</v>
      </c>
      <c r="L8" s="4">
        <f>[1]mos_age!AJ9</f>
        <v>3.2519904931669639</v>
      </c>
    </row>
    <row r="9" spans="1:12" x14ac:dyDescent="0.2">
      <c r="A9">
        <f t="shared" si="1"/>
        <v>7</v>
      </c>
      <c r="B9">
        <v>21</v>
      </c>
      <c r="C9" s="1">
        <v>45598</v>
      </c>
      <c r="D9" s="3">
        <v>1.2E-2</v>
      </c>
      <c r="E9" s="1" t="s">
        <v>15</v>
      </c>
      <c r="F9" s="1" t="s">
        <v>15</v>
      </c>
      <c r="G9">
        <v>2.1</v>
      </c>
      <c r="H9">
        <v>2.4</v>
      </c>
      <c r="I9">
        <f t="shared" si="0"/>
        <v>4.5</v>
      </c>
      <c r="J9" t="s">
        <v>14</v>
      </c>
      <c r="K9" s="4">
        <f>[1]mos_age!S10</f>
        <v>5.0054726368159201</v>
      </c>
      <c r="L9" s="4">
        <f>[1]mos_age!AJ10</f>
        <v>5.4171444023796642</v>
      </c>
    </row>
    <row r="10" spans="1:12" x14ac:dyDescent="0.2">
      <c r="A10">
        <f t="shared" si="1"/>
        <v>8</v>
      </c>
      <c r="B10">
        <v>27</v>
      </c>
      <c r="C10" s="1">
        <v>45792</v>
      </c>
      <c r="D10" s="3">
        <v>3.5000000000000003E-2</v>
      </c>
      <c r="E10" s="1" t="s">
        <v>15</v>
      </c>
      <c r="F10" s="1" t="s">
        <v>15</v>
      </c>
      <c r="G10">
        <v>1.6</v>
      </c>
      <c r="H10">
        <v>1.6</v>
      </c>
      <c r="I10">
        <f t="shared" si="0"/>
        <v>3.2</v>
      </c>
      <c r="J10" t="s">
        <v>12</v>
      </c>
      <c r="K10" s="4">
        <f>[1]mos_age!S11</f>
        <v>3.7216070222822415</v>
      </c>
      <c r="L10" s="4">
        <f>[1]mos_age!AJ11</f>
        <v>3.7199441563621858</v>
      </c>
    </row>
    <row r="11" spans="1:12" x14ac:dyDescent="0.2">
      <c r="A11">
        <f t="shared" si="1"/>
        <v>9</v>
      </c>
      <c r="B11">
        <v>27</v>
      </c>
      <c r="C11" s="1">
        <v>45853</v>
      </c>
      <c r="D11" s="3">
        <v>2.7E-2</v>
      </c>
      <c r="E11" s="1" t="s">
        <v>16</v>
      </c>
      <c r="F11" s="1" t="s">
        <v>16</v>
      </c>
      <c r="G11">
        <v>1.3</v>
      </c>
      <c r="H11">
        <v>1.3</v>
      </c>
      <c r="I11">
        <f t="shared" si="0"/>
        <v>2.6</v>
      </c>
      <c r="J11" t="s">
        <v>14</v>
      </c>
      <c r="K11" s="4">
        <f>[1]mos_age!S12</f>
        <v>3.5085106382978717</v>
      </c>
      <c r="L11" s="4">
        <f>[1]mos_age!AJ12</f>
        <v>3.9619954303122618</v>
      </c>
    </row>
    <row r="12" spans="1:12" x14ac:dyDescent="0.2">
      <c r="C12" s="2"/>
    </row>
    <row r="13" spans="1:12" x14ac:dyDescent="0.2">
      <c r="C13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725c29-763a-4f50-81f2-2e254f0133c8}" enabled="0" method="" siteId="{6e725c29-763a-4f50-81f2-2e254f0133c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 Casas Gomez-Uribarri (student)</dc:creator>
  <cp:keywords/>
  <dc:description/>
  <cp:lastModifiedBy>Ivan Casas Gomez-Uribarri (PGR)</cp:lastModifiedBy>
  <cp:revision/>
  <dcterms:created xsi:type="dcterms:W3CDTF">2023-03-13T15:47:26Z</dcterms:created>
  <dcterms:modified xsi:type="dcterms:W3CDTF">2026-08-26T23:53:12Z</dcterms:modified>
  <cp:category/>
  <cp:contentStatus/>
</cp:coreProperties>
</file>